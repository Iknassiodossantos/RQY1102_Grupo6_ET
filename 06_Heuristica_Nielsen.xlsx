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Evaluacion" sheetId="2" r:id="rId6"/>
    <sheet state="visible" name="Resumen" sheetId="3" r:id="rId7"/>
    <sheet state="visible" name="Referencia" sheetId="4" r:id="rId8"/>
    <sheet state="hidden" name="lista" sheetId="5" r:id="rId9"/>
  </sheets>
  <definedNames/>
  <calcPr/>
</workbook>
</file>

<file path=xl/sharedStrings.xml><?xml version="1.0" encoding="utf-8"?>
<sst xmlns="http://schemas.openxmlformats.org/spreadsheetml/2006/main" count="273" uniqueCount="186">
  <si>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</si>
  <si>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</si>
  <si>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</si>
  <si>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</si>
  <si>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</si>
  <si>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</si>
  <si>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</si>
  <si>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</si>
  <si>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</si>
  <si>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</si>
  <si>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</si>
  <si>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</si>
  <si>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</si>
  <si>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</si>
  <si>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</si>
  <si>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</si>
  <si>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</si>
  <si>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</si>
  <si>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</si>
  <si>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</si>
  <si>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</si>
  <si>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</si>
  <si>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</si>
  <si>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</si>
  <si>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</si>
  <si>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</si>
  <si>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MVP</t>
  </si>
  <si>
    <t>Severidad
(0-4)</t>
  </si>
  <si>
    <t>Evidencia
(captura/URL)</t>
  </si>
  <si>
    <t>Recomendacion de mejora</t>
  </si>
  <si>
    <t>Evaluador</t>
  </si>
  <si>
    <t>H10 - Ayuda y documentacion</t>
  </si>
  <si>
    <t>No se observa ayuda contextual para explicar metricas e indicadores del sistema</t>
  </si>
  <si>
    <t>Todas la pantallas</t>
  </si>
  <si>
    <t>https://www.figma.com/make/XOc58HODgI7hzKSRwnpNjZ/Dashboard-de-Gesti%C3%B3n-Edificio?p=f&amp;t=nuq5hh883uUrvw7N-0</t>
  </si>
  <si>
    <t>Incorporar tooltips, preguntas frecuentes y ayuda contextual.</t>
  </si>
  <si>
    <t>Ignacio Cea</t>
  </si>
  <si>
    <t>H7 - Flexibilidad y eficiencia</t>
  </si>
  <si>
    <t>No existe busqueda o filtrado de residentes morosos.</t>
  </si>
  <si>
    <t xml:space="preserve">Reportes financieros </t>
  </si>
  <si>
    <t>Agregar busqueda por nombre, deuda o departamento</t>
  </si>
  <si>
    <t>H2 - Sistema y mundo real</t>
  </si>
  <si>
    <t>La abreviatura "1629k" puede ser no familiar para todos los usuarios.</t>
  </si>
  <si>
    <t>Tarjeta deuda total</t>
  </si>
  <si>
    <t>Mostrar el monto en un formato completo y familiar para el usuario, 1.628.000 evitando abreviaturas como ´k´ que pueden generar confusion o requerir interpretacion.</t>
  </si>
  <si>
    <t>El estado "en mora" aparece en rojo y "Al dia" en verde. Usuarios con daltonismo podrian tener dificultades para distinguirlos</t>
  </si>
  <si>
    <t xml:space="preserve">Gestion de residente </t>
  </si>
  <si>
    <t>Complementar el uso del color con iconos o etiquetas visuales para mejorar la accesibilidad y facilitar la identificacion del estado de la cuenta</t>
  </si>
  <si>
    <t>La abreviatura "DPTO" puede no ser comprendida inmediatamente  por todos los usuarios.</t>
  </si>
  <si>
    <t xml:space="preserve">Gestion de residentes </t>
  </si>
  <si>
    <t>Utilizar el termino completo "Departamento" o una denominacion mas explicita.</t>
  </si>
  <si>
    <t>No existen filtros temporales para analizar la informacion financiera por periodo.</t>
  </si>
  <si>
    <t>Informes Generales/ Reportes Financieros</t>
  </si>
  <si>
    <t>Incorporar filtros por mes, trimestre, año o rango personalizado.</t>
  </si>
  <si>
    <t>H1 - Visibilidad del estado</t>
  </si>
  <si>
    <t>Al cambiar el estado de una solicitud, no hay feedback visual inmediato ni mensaje de confirmacion.</t>
  </si>
  <si>
    <t>Generar solicitud</t>
  </si>
  <si>
    <t>Agregar toast de exito y actualizar el estado a tiempo real en la lista</t>
  </si>
  <si>
    <t>Pedro Lopez</t>
  </si>
  <si>
    <t>H4 - Consistencia y estandares</t>
  </si>
  <si>
    <t>Los botones primarios tienen variaciones de color y tamaño entre interfaces.</t>
  </si>
  <si>
    <t>Varias interfaces</t>
  </si>
  <si>
    <t>Unificar estilo, color y tamaño de botones primarios en todo el sistema.</t>
  </si>
  <si>
    <t>Angel Castillo</t>
  </si>
  <si>
    <t>No es posible realizar acciones masivas en la lista de residentes.</t>
  </si>
  <si>
    <t>Agregar checkboxes y acciones en lote</t>
  </si>
  <si>
    <t>En el Panel Principal no se muestra la fecha de última actualización de las métricas.</t>
  </si>
  <si>
    <t>Panel Principal</t>
  </si>
  <si>
    <t>Agregar "Actualizado hace X minutos" o fecha debajo de cada tarjeta.</t>
  </si>
  <si>
    <t>No existen tooltips ni ayuda en campos como "Cuota mensual".</t>
  </si>
  <si>
    <t>Gestión Financiera</t>
  </si>
  <si>
    <t>Agregar tooltips explicativos al pasar el mouse sobre métricas clave.</t>
  </si>
  <si>
    <t>Los colores de prioridad (Alta/Media/Baja) no siguen un estándar claro en todas las tablas.</t>
  </si>
  <si>
    <t>Solicitudes de Mantenimiento</t>
  </si>
  <si>
    <t>Definir y aplicar una paleta consistente de colores para prioridades.</t>
  </si>
  <si>
    <t>No hay opción de exportar datos desde todas las tablas.</t>
  </si>
  <si>
    <t>Agregar botón de exportar (Excel/PDF) en todas las vistas de lista.</t>
  </si>
  <si>
    <t>H5 - Prevencion de errores</t>
  </si>
  <si>
    <t>Es posible crear una solicitud sin seleccionar residente o título.</t>
  </si>
  <si>
    <t>Nueva solicitud / Nueva queja</t>
  </si>
  <si>
    <t>Deshabilitar botón "Enviar" hasta completar campos obligatorios + validación en tiempo real.</t>
  </si>
  <si>
    <t>H8 - Diseño minimalista</t>
  </si>
  <si>
    <t>En Roles y Permisos hay demasiados checkboxes visibles al mismo tiempo sin agrupación.</t>
  </si>
  <si>
    <t>Roles y Permisos</t>
  </si>
  <si>
    <t>Agrupar permisos por módulos con acordeones o pestañas.</t>
  </si>
  <si>
    <t>H3 - Control y libertad</t>
  </si>
  <si>
    <t>Al abrir "Gestionar solicitud" no hay botón visible para cerrar y mantener guardardo.</t>
  </si>
  <si>
    <t>Gestionar solicitud</t>
  </si>
  <si>
    <t>Agregar botón "Cerrar y guardar" claro en todos los modales.</t>
  </si>
  <si>
    <t>Fechas mostradas en formato poco amigable en varios reportes.</t>
  </si>
  <si>
    <t>Reportes y Analisis</t>
  </si>
  <si>
    <t>Usar formato dd/mm/aaaa en todas las vistas visibles al usuario.</t>
  </si>
  <si>
    <t>Después de programar una notificación no se muestra confirmación clara ni aparece inmediatamente en la lista.</t>
  </si>
  <si>
    <t>Notificaciones</t>
  </si>
  <si>
    <t>Mostrar toast de éxito y refrescar lista automáticamente.</t>
  </si>
  <si>
    <t>No existe búsqueda global que permita buscar en todo el sistema.</t>
  </si>
  <si>
    <t>Implementar una barra de búsqueda global en la parte superior.</t>
  </si>
  <si>
    <t>H9 - Recuperacion de errores</t>
  </si>
  <si>
    <t>Los mensajes de error son genéricos y no indican cómo solucionarlos.</t>
  </si>
  <si>
    <t>Formularios</t>
  </si>
  <si>
    <t>Mejorar mensajes de error con texto claro y acción sugerida.</t>
  </si>
  <si>
    <t>H6 - Reconocimiento &gt; recuerdo</t>
  </si>
  <si>
    <t>En el formulario de nuevo residente no hay autocompletado ni sugerencias para RUT o correo.</t>
  </si>
  <si>
    <t>Registrar Nuevo Residente</t>
  </si>
  <si>
    <t>Agregar validación y sugerencias mientras se escribe.</t>
  </si>
  <si>
    <t>Iconos y espaciado varían entre las diferentes secciones.</t>
  </si>
  <si>
    <t>Todo el sistema</t>
  </si>
  <si>
    <t>Establecer y seguir un Design System consistente.</t>
  </si>
  <si>
    <t>No existe un botón de ayuda o documentación accesible desde cualquier pantalla.</t>
  </si>
  <si>
    <t>Agregar icono de ayuda (?) en la esquina superior que abra un centro de ayuda.</t>
  </si>
  <si>
    <t>No hay atajos de teclado ni opción de "Guardar y crear otro" al registrar una nueva solicitud o residente.</t>
  </si>
  <si>
    <t>Nuevas solicitudes y registro de residentes</t>
  </si>
  <si>
    <t>Agregar botón "Guardar y Nuevo" y principales atajos de teclado.</t>
  </si>
  <si>
    <t>No hay confirmación antes de acciones destructivas como "Rechazar" una solicitud o "Desvincular" un residente.</t>
  </si>
  <si>
    <t>Gestionar solicitud / Unidades Habitacionales</t>
  </si>
  <si>
    <t>Agregar modal de confirmación con mensaje claro antes de rechazar o eliminar elementos importantes.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</si>
  <si>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</si>
  <si>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</si>
  <si>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</si>
  <si>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</si>
  <si>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</si>
  <si>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</si>
  <si>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</si>
  <si>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</si>
  <si>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</si>
  <si>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</si>
  <si>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</si>
  <si>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</si>
  <si>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</si>
  <si>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</si>
  <si>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H8 - Diseno minimalista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</si>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</sst>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2">
    <font>
      <sz val="11.0"/>
      <color theme="1"/>
      <name val="Calibri"/>
      <scheme val="minor"/>
    </font>
    <font>
      <b/>
      <sz val="16.0"/>
      <color theme="1"/>
      <name val="Arial"/>
    </font>
    <font/>
    <font>
      <i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theme="1"/>
      <name val="Arial"/>
    </font>
    <font>
      <b/>
      <sz val="10.0"/>
      <color rgb="FF5F5E5A"/>
      <name val="Arial"/>
    </font>
    <font>
      <sz val="10.0"/>
      <color rgb="FF2C2C2A"/>
      <name val="Arial"/>
    </font>
    <font>
      <u/>
      <sz val="10.0"/>
      <color rgb="FF0000FF"/>
      <name val="Arial"/>
    </font>
    <font>
      <u/>
      <sz val="10.0"/>
      <color rgb="FF2C2C2A"/>
      <name val="Arial"/>
    </font>
    <font>
      <u/>
      <sz val="10.0"/>
      <color rgb="FF2C2C2A"/>
      <name val="Arial"/>
    </font>
    <font>
      <u/>
      <sz val="10.0"/>
      <color rgb="FF2C2C2A"/>
      <name val="Arial"/>
    </font>
    <font>
      <color theme="1"/>
      <name val="Calibri"/>
      <scheme val="minor"/>
    </font>
    <font>
      <u/>
      <sz val="10.0"/>
      <color rgb="FF2C2C2A"/>
      <name val="Arial"/>
    </font>
    <font>
      <b/>
      <sz val="10.0"/>
      <color rgb="FFFFFFFF"/>
      <name val="Arial"/>
    </font>
    <font>
      <sz val="14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8F8F6"/>
        <bgColor rgb="FFF8F8F6"/>
      </patternFill>
    </fill>
    <fill>
      <patternFill patternType="solid">
        <fgColor rgb="FFFFFFFF"/>
        <bgColor rgb="FFFFFFFF"/>
      </patternFill>
    </fill>
    <fill>
      <patternFill patternType="solid">
        <fgColor rgb="FF5F5E5A"/>
        <bgColor rgb="FF5F5E5A"/>
      </patternFill>
    </fill>
    <fill>
      <patternFill patternType="solid">
        <fgColor rgb="FFF2F2F2"/>
        <bgColor rgb="FFF2F2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shrinkToFit="0" vertical="center" wrapText="1"/>
    </xf>
    <xf borderId="8" fillId="3" fontId="10" numFmtId="0" xfId="0" applyAlignment="1" applyBorder="1" applyFont="1">
      <alignment horizontal="left" readingOrder="0" shrinkToFit="0" vertical="center" wrapText="1"/>
    </xf>
    <xf borderId="8" fillId="3" fontId="7" numFmtId="0" xfId="0" applyAlignment="1" applyBorder="1" applyFont="1">
      <alignment horizontal="center" readingOrder="0" shrinkToFit="0" vertical="center" wrapText="1"/>
    </xf>
    <xf borderId="8" fillId="3" fontId="11" numFmtId="0" xfId="0" applyAlignment="1" applyBorder="1" applyFont="1">
      <alignment horizontal="left" readingOrder="0" shrinkToFit="0" vertical="center" wrapText="1"/>
    </xf>
    <xf borderId="8" fillId="4" fontId="9" numFmtId="0" xfId="0" applyAlignment="1" applyBorder="1" applyFill="1" applyFont="1">
      <alignment horizontal="center" shrinkToFit="0" vertical="center" wrapText="1"/>
    </xf>
    <xf borderId="8" fillId="4" fontId="10" numFmtId="0" xfId="0" applyAlignment="1" applyBorder="1" applyFont="1">
      <alignment horizontal="left" readingOrder="0" shrinkToFit="0" vertical="center" wrapText="1"/>
    </xf>
    <xf borderId="8" fillId="4" fontId="7" numFmtId="0" xfId="0" applyAlignment="1" applyBorder="1" applyFont="1">
      <alignment horizontal="center" readingOrder="0" shrinkToFit="0" vertical="center" wrapText="1"/>
    </xf>
    <xf borderId="8" fillId="4" fontId="12" numFmtId="0" xfId="0" applyAlignment="1" applyBorder="1" applyFont="1">
      <alignment horizontal="left" readingOrder="0" shrinkToFit="0" vertical="center" wrapText="1"/>
    </xf>
    <xf borderId="8" fillId="3" fontId="10" numFmtId="0" xfId="0" applyAlignment="1" applyBorder="1" applyFont="1">
      <alignment horizontal="left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8" fillId="3" fontId="13" numFmtId="0" xfId="0" applyAlignment="1" applyBorder="1" applyFont="1">
      <alignment horizontal="left" readingOrder="0" shrinkToFit="0" vertical="center" wrapText="1"/>
    </xf>
    <xf borderId="8" fillId="4" fontId="10" numFmtId="0" xfId="0" applyAlignment="1" applyBorder="1" applyFont="1">
      <alignment horizontal="left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8" fillId="4" fontId="14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vertical="center"/>
    </xf>
    <xf borderId="0" fillId="0" fontId="15" numFmtId="0" xfId="0" applyAlignment="1" applyFont="1">
      <alignment readingOrder="0" shrinkToFit="0" wrapText="1"/>
    </xf>
    <xf borderId="8" fillId="3" fontId="16" numFmtId="0" xfId="0" applyAlignment="1" applyBorder="1" applyFont="1">
      <alignment horizontal="left" readingOrder="0" shrinkToFit="0" vertical="center" wrapText="1"/>
    </xf>
    <xf borderId="1" fillId="5" fontId="17" numFmtId="0" xfId="0" applyAlignment="1" applyBorder="1" applyFill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4" fillId="4" fontId="18" numFmtId="0" xfId="0" applyAlignment="1" applyBorder="1" applyFont="1">
      <alignment horizontal="center" shrinkToFit="0" vertical="center" wrapText="1"/>
    </xf>
    <xf borderId="4" fillId="4" fontId="18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8" fillId="6" fontId="4" numFmtId="0" xfId="0" applyAlignment="1" applyBorder="1" applyFill="1" applyFont="1">
      <alignment horizontal="left" shrinkToFit="0" vertical="center" wrapText="1"/>
    </xf>
    <xf borderId="8" fillId="6" fontId="19" numFmtId="0" xfId="0" applyAlignment="1" applyBorder="1" applyFont="1">
      <alignment horizontal="center" shrinkToFit="0" vertical="center" wrapText="1"/>
    </xf>
    <xf borderId="8" fillId="6" fontId="20" numFmtId="164" xfId="0" applyAlignment="1" applyBorder="1" applyFont="1" applyNumberFormat="1">
      <alignment horizontal="center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8" fillId="4" fontId="19" numFmtId="0" xfId="0" applyAlignment="1" applyBorder="1" applyFont="1">
      <alignment horizontal="center" shrinkToFit="0" vertical="center" wrapText="1"/>
    </xf>
    <xf borderId="8" fillId="4" fontId="20" numFmtId="164" xfId="0" applyAlignment="1" applyBorder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0" fontId="2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0" fillId="0" fontId="15" numFmtId="0" xfId="0" applyFont="1"/>
    <xf borderId="0" fillId="0" fontId="20" numFmtId="0" xfId="0" applyFont="1"/>
  </cellXfs>
  <cellStyles count="1">
    <cellStyle xfId="0" name="Normal" builtinId="0"/>
  </cellStyles>
  <dxfs count="8">
    <dxf>
      <font>
        <b/>
        <sz val="13.0"/>
        <color rgb="FF5F5E5A"/>
        <name val="Arial"/>
      </font>
      <fill>
        <patternFill patternType="solid">
          <fgColor rgb="FFFFFFFF"/>
          <bgColor rgb="FFFFFFFF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FF9F0"/>
          <bgColor rgb="FFFFF9F0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sz val="13.0"/>
        <color rgb="FF8B4000"/>
        <name val="Arial"/>
      </font>
      <fill>
        <patternFill patternType="solid">
          <fgColor rgb="FFFCEBD0"/>
          <bgColor rgb="FFFCEBD0"/>
        </patternFill>
      </fill>
      <border/>
    </dxf>
    <dxf>
      <font>
        <b/>
        <sz val="13.0"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color rgb="FF27500A"/>
        <name val="Arial"/>
      </font>
      <fill>
        <patternFill patternType="solid">
          <fgColor rgb="FFEAF3DE"/>
          <bgColor rgb="FFEAF3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igma.com/make/XOc58HODgI7hzKSRwnpNjZ/Dashboard-de-Gesti%C3%B3n-Edificio?p=f&amp;t=nuq5hh883uUrvw7N-0" TargetMode="External"/><Relationship Id="rId22" Type="http://schemas.openxmlformats.org/officeDocument/2006/relationships/hyperlink" Target="https://www.figma.com/make/XOc58HODgI7hzKSRwnpNjZ/Dashboard-de-Gesti%C3%B3n-Edificio?p=f&amp;t=nuq5hh883uUrvw7N-0" TargetMode="External"/><Relationship Id="rId21" Type="http://schemas.openxmlformats.org/officeDocument/2006/relationships/hyperlink" Target="https://www.figma.com/make/XOc58HODgI7hzKSRwnpNjZ/Dashboard-de-Gesti%C3%B3n-Edificio?p=f&amp;t=nuq5hh883uUrvw7N-0" TargetMode="External"/><Relationship Id="rId24" Type="http://schemas.openxmlformats.org/officeDocument/2006/relationships/hyperlink" Target="https://www.figma.com/make/XOc58HODgI7hzKSRwnpNjZ/Dashboard-de-Gesti%C3%B3n-Edificio?p=f&amp;t=nuq5hh883uUrvw7N-0" TargetMode="External"/><Relationship Id="rId23" Type="http://schemas.openxmlformats.org/officeDocument/2006/relationships/hyperlink" Target="https://www.figma.com/make/XOc58HODgI7hzKSRwnpNjZ/Dashboard-de-Gesti%C3%B3n-Edificio?p=f&amp;t=nuq5hh883uUrvw7N-0" TargetMode="External"/><Relationship Id="rId1" Type="http://schemas.openxmlformats.org/officeDocument/2006/relationships/hyperlink" Target="https://www.figma.com/make/XOc58HODgI7hzKSRwnpNjZ/Dashboard-de-Gesti%C3%B3n-Edificio?p=f&amp;t=nuq5hh883uUrvw7N-0" TargetMode="External"/><Relationship Id="rId2" Type="http://schemas.openxmlformats.org/officeDocument/2006/relationships/hyperlink" Target="https://www.figma.com/make/XOc58HODgI7hzKSRwnpNjZ/Dashboard-de-Gesti%C3%B3n-Edificio?p=f&amp;t=nuq5hh883uUrvw7N-0" TargetMode="External"/><Relationship Id="rId3" Type="http://schemas.openxmlformats.org/officeDocument/2006/relationships/hyperlink" Target="https://www.figma.com/make/XOc58HODgI7hzKSRwnpNjZ/Dashboard-de-Gesti%C3%B3n-Edificio?p=f&amp;t=nuq5hh883uUrvw7N-0" TargetMode="External"/><Relationship Id="rId4" Type="http://schemas.openxmlformats.org/officeDocument/2006/relationships/hyperlink" Target="https://www.figma.com/make/XOc58HODgI7hzKSRwnpNjZ/Dashboard-de-Gesti%C3%B3n-Edificio?p=f&amp;t=nuq5hh883uUrvw7N-0" TargetMode="External"/><Relationship Id="rId9" Type="http://schemas.openxmlformats.org/officeDocument/2006/relationships/hyperlink" Target="https://www.figma.com/make/XOc58HODgI7hzKSRwnpNjZ/Dashboard-de-Gesti%C3%B3n-Edificio?p=f&amp;t=nuq5hh883uUrvw7N-0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www.figma.com/make/XOc58HODgI7hzKSRwnpNjZ/Dashboard-de-Gesti%C3%B3n-Edificio?p=f&amp;t=nuq5hh883uUrvw7N-0" TargetMode="External"/><Relationship Id="rId5" Type="http://schemas.openxmlformats.org/officeDocument/2006/relationships/hyperlink" Target="https://www.figma.com/make/XOc58HODgI7hzKSRwnpNjZ/Dashboard-de-Gesti%C3%B3n-Edificio?p=f&amp;t=nuq5hh883uUrvw7N-0" TargetMode="External"/><Relationship Id="rId6" Type="http://schemas.openxmlformats.org/officeDocument/2006/relationships/hyperlink" Target="https://www.figma.com/make/XOc58HODgI7hzKSRwnpNjZ/Dashboard-de-Gesti%C3%B3n-Edificio?p=f&amp;t=nuq5hh883uUrvw7N-0" TargetMode="External"/><Relationship Id="rId7" Type="http://schemas.openxmlformats.org/officeDocument/2006/relationships/hyperlink" Target="https://www.figma.com/make/XOc58HODgI7hzKSRwnpNjZ/Dashboard-de-Gesti%C3%B3n-Edificio?p=f&amp;t=nuq5hh883uUrvw7N-0" TargetMode="External"/><Relationship Id="rId8" Type="http://schemas.openxmlformats.org/officeDocument/2006/relationships/hyperlink" Target="https://www.figma.com/make/XOc58HODgI7hzKSRwnpNjZ/Dashboard-de-Gesti%C3%B3n-Edificio?p=f&amp;t=nuq5hh883uUrvw7N-0" TargetMode="External"/><Relationship Id="rId11" Type="http://schemas.openxmlformats.org/officeDocument/2006/relationships/hyperlink" Target="https://www.figma.com/make/XOc58HODgI7hzKSRwnpNjZ/Dashboard-de-Gesti%C3%B3n-Edificio?p=f&amp;t=nuq5hh883uUrvw7N-0" TargetMode="External"/><Relationship Id="rId10" Type="http://schemas.openxmlformats.org/officeDocument/2006/relationships/hyperlink" Target="https://www.figma.com/make/XOc58HODgI7hzKSRwnpNjZ/Dashboard-de-Gesti%C3%B3n-Edificio?p=f&amp;t=nuq5hh883uUrvw7N-0" TargetMode="External"/><Relationship Id="rId13" Type="http://schemas.openxmlformats.org/officeDocument/2006/relationships/hyperlink" Target="https://www.figma.com/make/XOc58HODgI7hzKSRwnpNjZ/Dashboard-de-Gesti%C3%B3n-Edificio?p=f&amp;t=nuq5hh883uUrvw7N-0" TargetMode="External"/><Relationship Id="rId12" Type="http://schemas.openxmlformats.org/officeDocument/2006/relationships/hyperlink" Target="https://www.figma.com/make/XOc58HODgI7hzKSRwnpNjZ/Dashboard-de-Gesti%C3%B3n-Edificio?p=f&amp;t=nuq5hh883uUrvw7N-0" TargetMode="External"/><Relationship Id="rId15" Type="http://schemas.openxmlformats.org/officeDocument/2006/relationships/hyperlink" Target="https://www.figma.com/make/XOc58HODgI7hzKSRwnpNjZ/Dashboard-de-Gesti%C3%B3n-Edificio?p=f&amp;t=nuq5hh883uUrvw7N-0" TargetMode="External"/><Relationship Id="rId14" Type="http://schemas.openxmlformats.org/officeDocument/2006/relationships/hyperlink" Target="https://www.figma.com/make/XOc58HODgI7hzKSRwnpNjZ/Dashboard-de-Gesti%C3%B3n-Edificio?p=f&amp;t=nuq5hh883uUrvw7N-0" TargetMode="External"/><Relationship Id="rId17" Type="http://schemas.openxmlformats.org/officeDocument/2006/relationships/hyperlink" Target="https://www.figma.com/make/XOc58HODgI7hzKSRwnpNjZ/Dashboard-de-Gesti%C3%B3n-Edificio?p=f&amp;t=nuq5hh883uUrvw7N-0" TargetMode="External"/><Relationship Id="rId16" Type="http://schemas.openxmlformats.org/officeDocument/2006/relationships/hyperlink" Target="https://www.figma.com/make/XOc58HODgI7hzKSRwnpNjZ/Dashboard-de-Gesti%C3%B3n-Edificio?p=f&amp;t=nuq5hh883uUrvw7N-0" TargetMode="External"/><Relationship Id="rId19" Type="http://schemas.openxmlformats.org/officeDocument/2006/relationships/hyperlink" Target="https://www.figma.com/make/XOc58HODgI7hzKSRwnpNjZ/Dashboard-de-Gesti%C3%B3n-Edificio?p=f&amp;t=nuq5hh883uUrvw7N-0" TargetMode="External"/><Relationship Id="rId18" Type="http://schemas.openxmlformats.org/officeDocument/2006/relationships/hyperlink" Target="https://www.figma.com/make/XOc58HODgI7hzKSRwnpNjZ/Dashboard-de-Gesti%C3%B3n-Edificio?p=f&amp;t=nuq5hh883uUrvw7N-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50.0"/>
    <col customWidth="1" min="4" max="4" width="22.0"/>
    <col customWidth="1" min="5" max="5" width="18.0"/>
    <col customWidth="1" min="6" max="26" width="8.71"/>
  </cols>
  <sheetData>
    <row r="1" ht="14.25" customHeight="1"/>
    <row r="2" ht="39.75" customHeight="1">
      <c r="B2" s="1" t="s">
        <v>0</v>
      </c>
      <c r="C2" s="2"/>
      <c r="D2" s="2"/>
      <c r="E2" s="3"/>
    </row>
    <row r="3" ht="21.75" customHeight="1">
      <c r="B3" s="4" t="s">
        <v>1</v>
      </c>
      <c r="C3" s="2"/>
      <c r="D3" s="2"/>
      <c r="E3" s="3"/>
    </row>
    <row r="4" ht="14.25" customHeight="1"/>
    <row r="5" ht="18.0" customHeight="1">
      <c r="B5" s="5" t="s">
        <v>2</v>
      </c>
      <c r="C5" s="6"/>
      <c r="D5" s="6"/>
      <c r="E5" s="7"/>
    </row>
    <row r="6" ht="18.0" customHeight="1">
      <c r="B6" s="8" t="s">
        <v>3</v>
      </c>
      <c r="C6" s="6"/>
      <c r="D6" s="6"/>
      <c r="E6" s="7"/>
    </row>
    <row r="7" ht="18.0" customHeight="1">
      <c r="B7" s="8" t="s">
        <v>4</v>
      </c>
      <c r="C7" s="6"/>
      <c r="D7" s="6"/>
      <c r="E7" s="7"/>
    </row>
    <row r="8" ht="18.0" customHeight="1">
      <c r="B8" s="8" t="s">
        <v>5</v>
      </c>
      <c r="C8" s="6"/>
      <c r="D8" s="6"/>
      <c r="E8" s="7"/>
    </row>
    <row r="9" ht="18.0" customHeight="1">
      <c r="B9" s="8" t="s">
        <v>6</v>
      </c>
      <c r="C9" s="6"/>
      <c r="D9" s="6"/>
      <c r="E9" s="7"/>
    </row>
    <row r="10" ht="18.0" customHeight="1">
      <c r="B10" s="8" t="s">
        <v>7</v>
      </c>
      <c r="C10" s="6"/>
      <c r="D10" s="6"/>
      <c r="E10" s="7"/>
    </row>
    <row r="11" ht="18.0" customHeight="1">
      <c r="B11" s="8" t="s">
        <v>8</v>
      </c>
      <c r="C11" s="6"/>
      <c r="D11" s="6"/>
      <c r="E11" s="7"/>
    </row>
    <row r="12" ht="18.0" customHeight="1">
      <c r="B12" s="8" t="s">
        <v>9</v>
      </c>
      <c r="C12" s="6"/>
      <c r="D12" s="6"/>
      <c r="E12" s="7"/>
    </row>
    <row r="13" ht="14.25" customHeight="1"/>
    <row r="14" ht="14.25" customHeight="1"/>
    <row r="15" ht="18.0" customHeight="1">
      <c r="B15" s="9" t="s">
        <v>10</v>
      </c>
      <c r="C15" s="6"/>
      <c r="D15" s="6"/>
      <c r="E15" s="7"/>
    </row>
    <row r="16" ht="18.0" customHeight="1">
      <c r="B16" s="10" t="s">
        <v>11</v>
      </c>
      <c r="C16" s="8" t="s">
        <v>12</v>
      </c>
      <c r="D16" s="6"/>
      <c r="E16" s="7"/>
    </row>
    <row r="17" ht="18.0" customHeight="1">
      <c r="B17" s="10" t="s">
        <v>13</v>
      </c>
      <c r="C17" s="8" t="s">
        <v>14</v>
      </c>
      <c r="D17" s="6"/>
      <c r="E17" s="7"/>
    </row>
    <row r="18" ht="18.0" customHeight="1">
      <c r="B18" s="10" t="s">
        <v>15</v>
      </c>
      <c r="C18" s="8" t="s">
        <v>16</v>
      </c>
      <c r="D18" s="6"/>
      <c r="E18" s="7"/>
    </row>
    <row r="19" ht="18.0" customHeight="1">
      <c r="B19" s="10" t="s">
        <v>17</v>
      </c>
      <c r="C19" s="8" t="s">
        <v>18</v>
      </c>
      <c r="D19" s="6"/>
      <c r="E19" s="7"/>
    </row>
    <row r="20" ht="18.0" customHeight="1">
      <c r="B20" s="10" t="s">
        <v>19</v>
      </c>
      <c r="C20" s="8" t="s">
        <v>20</v>
      </c>
      <c r="D20" s="6"/>
      <c r="E20" s="7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2:E2"/>
    <mergeCell ref="B3:E3"/>
    <mergeCell ref="B5:E5"/>
    <mergeCell ref="B6:E6"/>
    <mergeCell ref="B7:E7"/>
    <mergeCell ref="B8:E8"/>
    <mergeCell ref="B9:E9"/>
    <mergeCell ref="C19:E19"/>
    <mergeCell ref="C20:E20"/>
    <mergeCell ref="B10:E10"/>
    <mergeCell ref="B11:E11"/>
    <mergeCell ref="B12:E12"/>
    <mergeCell ref="B15:E15"/>
    <mergeCell ref="C16:E16"/>
    <mergeCell ref="C17:E17"/>
    <mergeCell ref="C18:E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32.0"/>
    <col customWidth="1" min="4" max="4" width="28.0"/>
    <col customWidth="1" min="5" max="5" width="12.0"/>
    <col customWidth="1" min="6" max="6" width="26.0"/>
    <col customWidth="1" min="7" max="7" width="32.29"/>
    <col customWidth="1" min="8" max="8" width="16.0"/>
    <col customWidth="1" min="9" max="26" width="8.71"/>
  </cols>
  <sheetData>
    <row r="1" ht="31.5" customHeight="1">
      <c r="A1" s="11" t="s">
        <v>21</v>
      </c>
      <c r="B1" s="2"/>
      <c r="C1" s="2"/>
      <c r="D1" s="2"/>
      <c r="E1" s="2"/>
      <c r="F1" s="2"/>
      <c r="G1" s="2"/>
      <c r="H1" s="3"/>
    </row>
    <row r="2" ht="15.75" customHeight="1">
      <c r="A2" s="12" t="s">
        <v>22</v>
      </c>
      <c r="B2" s="2"/>
      <c r="C2" s="2"/>
      <c r="D2" s="2"/>
      <c r="E2" s="2"/>
      <c r="F2" s="2"/>
      <c r="G2" s="2"/>
      <c r="H2" s="3"/>
    </row>
    <row r="3" ht="31.5" customHeight="1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  <c r="G3" s="13" t="s">
        <v>29</v>
      </c>
      <c r="H3" s="13" t="s">
        <v>30</v>
      </c>
    </row>
    <row r="4" ht="42.0" customHeight="1">
      <c r="A4" s="14">
        <v>1.0</v>
      </c>
      <c r="B4" s="15" t="s">
        <v>31</v>
      </c>
      <c r="C4" s="15" t="s">
        <v>32</v>
      </c>
      <c r="D4" s="15" t="s">
        <v>33</v>
      </c>
      <c r="E4" s="16">
        <v>3.0</v>
      </c>
      <c r="F4" s="17" t="s">
        <v>34</v>
      </c>
      <c r="G4" s="15" t="s">
        <v>35</v>
      </c>
      <c r="H4" s="15" t="s">
        <v>36</v>
      </c>
    </row>
    <row r="5" ht="42.0" customHeight="1">
      <c r="A5" s="18">
        <v>2.0</v>
      </c>
      <c r="B5" s="15" t="s">
        <v>37</v>
      </c>
      <c r="C5" s="19" t="s">
        <v>38</v>
      </c>
      <c r="D5" s="19" t="s">
        <v>39</v>
      </c>
      <c r="E5" s="20">
        <v>2.0</v>
      </c>
      <c r="F5" s="21" t="s">
        <v>34</v>
      </c>
      <c r="G5" s="19" t="s">
        <v>40</v>
      </c>
      <c r="H5" s="15" t="s">
        <v>36</v>
      </c>
    </row>
    <row r="6" ht="14.25" customHeight="1">
      <c r="A6" s="14">
        <v>3.0</v>
      </c>
      <c r="B6" s="22" t="s">
        <v>41</v>
      </c>
      <c r="C6" s="22" t="s">
        <v>42</v>
      </c>
      <c r="D6" s="15" t="s">
        <v>43</v>
      </c>
      <c r="E6" s="23">
        <v>1.0</v>
      </c>
      <c r="F6" s="24" t="s">
        <v>34</v>
      </c>
      <c r="G6" s="22" t="s">
        <v>44</v>
      </c>
      <c r="H6" s="15" t="s">
        <v>36</v>
      </c>
    </row>
    <row r="7" ht="64.5" customHeight="1">
      <c r="A7" s="18">
        <v>4.0</v>
      </c>
      <c r="B7" s="15" t="s">
        <v>41</v>
      </c>
      <c r="C7" s="19" t="s">
        <v>45</v>
      </c>
      <c r="D7" s="25" t="s">
        <v>46</v>
      </c>
      <c r="E7" s="26">
        <v>2.0</v>
      </c>
      <c r="F7" s="21" t="s">
        <v>34</v>
      </c>
      <c r="G7" s="25" t="s">
        <v>47</v>
      </c>
      <c r="H7" s="19" t="s">
        <v>36</v>
      </c>
    </row>
    <row r="8" ht="48.75" customHeight="1">
      <c r="A8" s="14">
        <v>5.0</v>
      </c>
      <c r="B8" s="15" t="s">
        <v>41</v>
      </c>
      <c r="C8" s="22" t="s">
        <v>48</v>
      </c>
      <c r="D8" s="15" t="s">
        <v>49</v>
      </c>
      <c r="E8" s="23">
        <v>1.0</v>
      </c>
      <c r="F8" s="24" t="s">
        <v>34</v>
      </c>
      <c r="G8" s="22" t="s">
        <v>50</v>
      </c>
      <c r="H8" s="15" t="s">
        <v>36</v>
      </c>
    </row>
    <row r="9" ht="42.0" customHeight="1">
      <c r="A9" s="18">
        <v>6.0</v>
      </c>
      <c r="B9" s="15" t="s">
        <v>37</v>
      </c>
      <c r="C9" s="19" t="s">
        <v>51</v>
      </c>
      <c r="D9" s="19" t="s">
        <v>52</v>
      </c>
      <c r="E9" s="20">
        <v>3.0</v>
      </c>
      <c r="F9" s="21" t="s">
        <v>34</v>
      </c>
      <c r="G9" s="19" t="s">
        <v>53</v>
      </c>
      <c r="H9" s="19" t="s">
        <v>36</v>
      </c>
    </row>
    <row r="10" ht="48.75" customHeight="1">
      <c r="A10" s="14">
        <v>7.0</v>
      </c>
      <c r="B10" s="15" t="s">
        <v>54</v>
      </c>
      <c r="C10" s="15" t="s">
        <v>55</v>
      </c>
      <c r="D10" s="15" t="s">
        <v>56</v>
      </c>
      <c r="E10" s="16">
        <v>3.0</v>
      </c>
      <c r="F10" s="24" t="s">
        <v>34</v>
      </c>
      <c r="G10" s="15" t="s">
        <v>57</v>
      </c>
      <c r="H10" s="15" t="s">
        <v>58</v>
      </c>
    </row>
    <row r="11" ht="42.0" customHeight="1">
      <c r="A11" s="18">
        <v>8.0</v>
      </c>
      <c r="B11" s="15" t="s">
        <v>59</v>
      </c>
      <c r="C11" s="19" t="s">
        <v>60</v>
      </c>
      <c r="D11" s="19" t="s">
        <v>61</v>
      </c>
      <c r="E11" s="20">
        <v>2.0</v>
      </c>
      <c r="F11" s="27" t="s">
        <v>34</v>
      </c>
      <c r="G11" s="28" t="s">
        <v>62</v>
      </c>
      <c r="H11" s="19" t="s">
        <v>63</v>
      </c>
    </row>
    <row r="12" ht="51.0" customHeight="1">
      <c r="A12" s="14">
        <v>9.0</v>
      </c>
      <c r="B12" s="15" t="s">
        <v>37</v>
      </c>
      <c r="C12" s="15" t="s">
        <v>64</v>
      </c>
      <c r="D12" s="15" t="s">
        <v>49</v>
      </c>
      <c r="E12" s="16">
        <v>2.0</v>
      </c>
      <c r="F12" s="24" t="s">
        <v>34</v>
      </c>
      <c r="G12" s="15" t="s">
        <v>65</v>
      </c>
      <c r="H12" s="15" t="s">
        <v>63</v>
      </c>
    </row>
    <row r="13" ht="53.25" customHeight="1">
      <c r="A13" s="18">
        <v>10.0</v>
      </c>
      <c r="B13" s="15" t="s">
        <v>54</v>
      </c>
      <c r="C13" s="19" t="s">
        <v>66</v>
      </c>
      <c r="D13" s="29" t="s">
        <v>67</v>
      </c>
      <c r="E13" s="20">
        <v>2.0</v>
      </c>
      <c r="F13" s="21" t="s">
        <v>34</v>
      </c>
      <c r="G13" s="30" t="s">
        <v>68</v>
      </c>
      <c r="H13" s="19" t="s">
        <v>63</v>
      </c>
    </row>
    <row r="14" ht="42.0" customHeight="1">
      <c r="A14" s="14">
        <v>11.0</v>
      </c>
      <c r="B14" s="15" t="s">
        <v>31</v>
      </c>
      <c r="C14" s="15" t="s">
        <v>69</v>
      </c>
      <c r="D14" s="15" t="s">
        <v>70</v>
      </c>
      <c r="E14" s="16">
        <v>3.0</v>
      </c>
      <c r="F14" s="24" t="s">
        <v>34</v>
      </c>
      <c r="G14" s="15" t="s">
        <v>71</v>
      </c>
      <c r="H14" s="15" t="s">
        <v>58</v>
      </c>
    </row>
    <row r="15" ht="42.0" customHeight="1">
      <c r="A15" s="18">
        <v>12.0</v>
      </c>
      <c r="B15" s="15" t="s">
        <v>59</v>
      </c>
      <c r="C15" s="19" t="s">
        <v>72</v>
      </c>
      <c r="D15" s="19" t="s">
        <v>73</v>
      </c>
      <c r="E15" s="20">
        <v>2.0</v>
      </c>
      <c r="F15" s="21" t="s">
        <v>34</v>
      </c>
      <c r="G15" s="19" t="s">
        <v>74</v>
      </c>
      <c r="H15" s="19" t="s">
        <v>58</v>
      </c>
    </row>
    <row r="16" ht="42.0" customHeight="1">
      <c r="A16" s="14">
        <v>13.0</v>
      </c>
      <c r="B16" s="15" t="s">
        <v>37</v>
      </c>
      <c r="C16" s="15" t="s">
        <v>75</v>
      </c>
      <c r="D16" s="15" t="s">
        <v>39</v>
      </c>
      <c r="E16" s="16">
        <v>3.0</v>
      </c>
      <c r="F16" s="24" t="s">
        <v>34</v>
      </c>
      <c r="G16" s="15" t="s">
        <v>76</v>
      </c>
      <c r="H16" s="15" t="s">
        <v>63</v>
      </c>
    </row>
    <row r="17" ht="42.0" customHeight="1">
      <c r="A17" s="18">
        <v>14.0</v>
      </c>
      <c r="B17" s="15" t="s">
        <v>77</v>
      </c>
      <c r="C17" s="19" t="s">
        <v>78</v>
      </c>
      <c r="D17" s="19" t="s">
        <v>79</v>
      </c>
      <c r="E17" s="20">
        <v>3.0</v>
      </c>
      <c r="F17" s="21" t="s">
        <v>34</v>
      </c>
      <c r="G17" s="19" t="s">
        <v>80</v>
      </c>
      <c r="H17" s="19" t="s">
        <v>58</v>
      </c>
    </row>
    <row r="18" ht="42.0" customHeight="1">
      <c r="A18" s="14">
        <v>15.0</v>
      </c>
      <c r="B18" s="15" t="s">
        <v>81</v>
      </c>
      <c r="C18" s="15" t="s">
        <v>82</v>
      </c>
      <c r="D18" s="15" t="s">
        <v>83</v>
      </c>
      <c r="E18" s="16">
        <v>2.0</v>
      </c>
      <c r="F18" s="24" t="s">
        <v>34</v>
      </c>
      <c r="G18" s="15" t="s">
        <v>84</v>
      </c>
      <c r="H18" s="15" t="s">
        <v>58</v>
      </c>
    </row>
    <row r="19" ht="42.0" customHeight="1">
      <c r="A19" s="18">
        <v>16.0</v>
      </c>
      <c r="B19" s="15" t="s">
        <v>85</v>
      </c>
      <c r="C19" s="19" t="s">
        <v>86</v>
      </c>
      <c r="D19" s="19" t="s">
        <v>87</v>
      </c>
      <c r="E19" s="20">
        <v>1.0</v>
      </c>
      <c r="F19" s="21" t="s">
        <v>34</v>
      </c>
      <c r="G19" s="19" t="s">
        <v>88</v>
      </c>
      <c r="H19" s="19" t="s">
        <v>63</v>
      </c>
    </row>
    <row r="20" ht="42.0" customHeight="1">
      <c r="A20" s="14">
        <v>17.0</v>
      </c>
      <c r="B20" s="15" t="s">
        <v>41</v>
      </c>
      <c r="C20" s="15" t="s">
        <v>89</v>
      </c>
      <c r="D20" s="15" t="s">
        <v>90</v>
      </c>
      <c r="E20" s="16">
        <v>1.0</v>
      </c>
      <c r="F20" s="24" t="s">
        <v>34</v>
      </c>
      <c r="G20" s="15" t="s">
        <v>91</v>
      </c>
      <c r="H20" s="15" t="s">
        <v>63</v>
      </c>
    </row>
    <row r="21" ht="55.5" customHeight="1">
      <c r="A21" s="18">
        <v>18.0</v>
      </c>
      <c r="B21" s="15" t="s">
        <v>54</v>
      </c>
      <c r="C21" s="19" t="s">
        <v>92</v>
      </c>
      <c r="D21" s="19" t="s">
        <v>93</v>
      </c>
      <c r="E21" s="20">
        <v>2.0</v>
      </c>
      <c r="F21" s="21" t="s">
        <v>34</v>
      </c>
      <c r="G21" s="19" t="s">
        <v>94</v>
      </c>
      <c r="H21" s="19" t="s">
        <v>58</v>
      </c>
    </row>
    <row r="22" ht="48.75" customHeight="1">
      <c r="A22" s="14">
        <v>19.0</v>
      </c>
      <c r="B22" s="15" t="s">
        <v>37</v>
      </c>
      <c r="C22" s="15" t="s">
        <v>95</v>
      </c>
      <c r="D22" s="15" t="s">
        <v>67</v>
      </c>
      <c r="E22" s="16">
        <v>3.0</v>
      </c>
      <c r="F22" s="24" t="s">
        <v>34</v>
      </c>
      <c r="G22" s="15" t="s">
        <v>96</v>
      </c>
      <c r="H22" s="15" t="s">
        <v>63</v>
      </c>
    </row>
    <row r="23" ht="42.0" customHeight="1">
      <c r="A23" s="18">
        <v>20.0</v>
      </c>
      <c r="B23" s="15" t="s">
        <v>97</v>
      </c>
      <c r="C23" s="19" t="s">
        <v>98</v>
      </c>
      <c r="D23" s="19" t="s">
        <v>99</v>
      </c>
      <c r="E23" s="20">
        <v>3.0</v>
      </c>
      <c r="F23" s="21" t="s">
        <v>34</v>
      </c>
      <c r="G23" s="19" t="s">
        <v>100</v>
      </c>
      <c r="H23" s="19" t="s">
        <v>58</v>
      </c>
    </row>
    <row r="24" ht="42.0" customHeight="1">
      <c r="A24" s="14">
        <v>21.0</v>
      </c>
      <c r="B24" s="15" t="s">
        <v>101</v>
      </c>
      <c r="C24" s="15" t="s">
        <v>102</v>
      </c>
      <c r="D24" s="15" t="s">
        <v>103</v>
      </c>
      <c r="E24" s="16">
        <v>2.0</v>
      </c>
      <c r="F24" s="24" t="s">
        <v>34</v>
      </c>
      <c r="G24" s="15" t="s">
        <v>104</v>
      </c>
      <c r="H24" s="15" t="s">
        <v>58</v>
      </c>
    </row>
    <row r="25" ht="42.0" customHeight="1">
      <c r="A25" s="18">
        <v>22.0</v>
      </c>
      <c r="B25" s="15" t="s">
        <v>59</v>
      </c>
      <c r="C25" s="19" t="s">
        <v>105</v>
      </c>
      <c r="D25" s="19" t="s">
        <v>106</v>
      </c>
      <c r="E25" s="20">
        <v>2.0</v>
      </c>
      <c r="F25" s="21" t="s">
        <v>34</v>
      </c>
      <c r="G25" s="19" t="s">
        <v>107</v>
      </c>
      <c r="H25" s="19" t="s">
        <v>58</v>
      </c>
    </row>
    <row r="26" ht="42.0" customHeight="1">
      <c r="A26" s="14">
        <v>23.0</v>
      </c>
      <c r="B26" s="15" t="s">
        <v>31</v>
      </c>
      <c r="C26" s="15" t="s">
        <v>108</v>
      </c>
      <c r="D26" s="15" t="s">
        <v>106</v>
      </c>
      <c r="E26" s="16">
        <v>3.0</v>
      </c>
      <c r="F26" s="24" t="s">
        <v>34</v>
      </c>
      <c r="G26" s="15" t="s">
        <v>109</v>
      </c>
      <c r="H26" s="15" t="s">
        <v>63</v>
      </c>
    </row>
    <row r="27" ht="42.0" customHeight="1">
      <c r="A27" s="18">
        <v>24.0</v>
      </c>
      <c r="B27" s="15" t="s">
        <v>37</v>
      </c>
      <c r="C27" s="19" t="s">
        <v>110</v>
      </c>
      <c r="D27" s="19" t="s">
        <v>111</v>
      </c>
      <c r="E27" s="20">
        <v>2.0</v>
      </c>
      <c r="F27" s="21" t="s">
        <v>34</v>
      </c>
      <c r="G27" s="19" t="s">
        <v>112</v>
      </c>
      <c r="H27" s="19" t="s">
        <v>63</v>
      </c>
    </row>
    <row r="28" ht="52.5" customHeight="1">
      <c r="A28" s="14">
        <v>25.0</v>
      </c>
      <c r="B28" s="15" t="s">
        <v>85</v>
      </c>
      <c r="C28" s="15" t="s">
        <v>113</v>
      </c>
      <c r="D28" s="15" t="s">
        <v>114</v>
      </c>
      <c r="E28" s="16">
        <v>3.0</v>
      </c>
      <c r="F28" s="31" t="s">
        <v>34</v>
      </c>
      <c r="G28" s="15" t="s">
        <v>115</v>
      </c>
      <c r="H28" s="15" t="s">
        <v>36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conditionalFormatting sqref="E4:E28">
    <cfRule type="cellIs" dxfId="0" priority="1" operator="equal">
      <formula>0</formula>
    </cfRule>
  </conditionalFormatting>
  <conditionalFormatting sqref="E4:E28">
    <cfRule type="cellIs" dxfId="1" priority="2" operator="equal">
      <formula>1</formula>
    </cfRule>
  </conditionalFormatting>
  <conditionalFormatting sqref="E4:E28">
    <cfRule type="cellIs" dxfId="2" priority="3" operator="equal">
      <formula>2</formula>
    </cfRule>
  </conditionalFormatting>
  <conditionalFormatting sqref="E4:E28">
    <cfRule type="cellIs" dxfId="3" priority="4" operator="equal">
      <formula>3</formula>
    </cfRule>
  </conditionalFormatting>
  <conditionalFormatting sqref="E4:E28">
    <cfRule type="cellIs" dxfId="4" priority="5" operator="equal">
      <formula>4</formula>
    </cfRule>
  </conditionalFormatting>
  <dataValidations>
    <dataValidation type="list" allowBlank="1" showErrorMessage="1" sqref="B4:B28">
      <formula1>lista!$A$1:$A$10</formula1>
    </dataValidation>
    <dataValidation type="decimal" allowBlank="1" showInputMessage="1" showErrorMessage="1" prompt="Escala de severidad - 0=No problema  1=Cosmético  2=Menor  3=Mayor  4=Catastrófico" sqref="E4:E28">
      <formula1>0.0</formula1>
      <formula2>4.0</formula2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</hyperlinks>
  <printOptions/>
  <pageMargins bottom="1.0" footer="0.0" header="0.0" left="0.75" right="0.75" top="1.0"/>
  <pageSetup orientation="landscape"/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5" width="14.0"/>
    <col customWidth="1" min="6" max="6" width="18.0"/>
    <col customWidth="1" min="7" max="7" width="20.0"/>
    <col customWidth="1" min="8" max="26" width="8.71"/>
  </cols>
  <sheetData>
    <row r="1" ht="31.5" customHeight="1">
      <c r="B1" s="11" t="s">
        <v>116</v>
      </c>
      <c r="C1" s="2"/>
      <c r="D1" s="2"/>
      <c r="E1" s="2"/>
      <c r="F1" s="2"/>
      <c r="G1" s="3"/>
    </row>
    <row r="2" ht="15.75" customHeight="1">
      <c r="B2" s="12" t="s">
        <v>117</v>
      </c>
      <c r="C2" s="2"/>
      <c r="D2" s="2"/>
      <c r="E2" s="2"/>
      <c r="F2" s="2"/>
      <c r="G2" s="3"/>
    </row>
    <row r="3" ht="14.25" customHeight="1"/>
    <row r="4" ht="18.0" customHeight="1">
      <c r="B4" s="32" t="s">
        <v>118</v>
      </c>
      <c r="C4" s="2"/>
      <c r="D4" s="2"/>
      <c r="E4" s="2"/>
      <c r="F4" s="2"/>
      <c r="G4" s="3"/>
    </row>
    <row r="5" ht="21.75" customHeight="1">
      <c r="B5" s="33" t="s">
        <v>119</v>
      </c>
      <c r="C5" s="34">
        <f>COUNTA(Evaluacion!C4:C28)</f>
        <v>25</v>
      </c>
      <c r="D5" s="7"/>
    </row>
    <row r="6" ht="21.75" customHeight="1">
      <c r="B6" s="33" t="s">
        <v>120</v>
      </c>
      <c r="C6" s="35">
        <f>IFERROR(AVERAGE(Evaluacion!E4:E28),0)</f>
        <v>2.24</v>
      </c>
      <c r="D6" s="7"/>
    </row>
    <row r="7" ht="21.75" customHeight="1">
      <c r="B7" s="33" t="s">
        <v>121</v>
      </c>
      <c r="C7" s="34">
        <f>COUNTIF(Evaluacion!E4:E28,4)</f>
        <v>0</v>
      </c>
      <c r="D7" s="7"/>
    </row>
    <row r="8" ht="21.75" customHeight="1">
      <c r="B8" s="33" t="s">
        <v>122</v>
      </c>
      <c r="C8" s="34">
        <f>COUNTIF(Evaluacion!E4:E28,3)</f>
        <v>10</v>
      </c>
      <c r="D8" s="7"/>
    </row>
    <row r="9" ht="21.75" customHeight="1">
      <c r="B9" s="33" t="s">
        <v>123</v>
      </c>
      <c r="C9" s="34">
        <f>COUNTIFS(Evaluacion!E4:E28,"&gt;=1",Evaluacion!E4:E28,"&lt;=2")</f>
        <v>15</v>
      </c>
      <c r="D9" s="7"/>
    </row>
    <row r="10" ht="14.25" customHeight="1"/>
    <row r="11" ht="18.0" customHeight="1">
      <c r="B11" s="36" t="s">
        <v>124</v>
      </c>
      <c r="C11" s="2"/>
      <c r="D11" s="2"/>
      <c r="E11" s="2"/>
      <c r="F11" s="2"/>
      <c r="G11" s="3"/>
    </row>
    <row r="12" ht="19.5" customHeight="1">
      <c r="B12" s="13" t="s">
        <v>24</v>
      </c>
      <c r="C12" s="13" t="s">
        <v>125</v>
      </c>
      <c r="D12" s="13" t="s">
        <v>126</v>
      </c>
      <c r="E12" s="13" t="s">
        <v>127</v>
      </c>
      <c r="F12" s="13" t="s">
        <v>128</v>
      </c>
      <c r="G12" s="13" t="s">
        <v>129</v>
      </c>
    </row>
    <row r="13" ht="19.5" customHeight="1">
      <c r="B13" s="37" t="s">
        <v>54</v>
      </c>
      <c r="C13" s="38">
        <f>COUNTIF(Evaluacion!B4:B28,"*H1*")</f>
        <v>6</v>
      </c>
      <c r="D13" s="38">
        <f>IFERROR(_xludf.MAXIFS(Evaluacion!E4:E28,Evaluacion!B4:B28,"*H1*"),0)</f>
        <v>0</v>
      </c>
      <c r="E13" s="39">
        <f>IFERROR(AVERAGEIF(Evaluacion!B4:B28,"*H1*",Evaluacion!E4:E28),0)</f>
        <v>2.666666667</v>
      </c>
      <c r="F13" s="40" t="str">
        <f t="shared" ref="F13:F22" si="1">IF(C13=0,"Sin problemas",IF(D13&gt;=4,"CRITICO",IF(D13&gt;=3,"MAYOR","MENOR")))</f>
        <v>MENOR</v>
      </c>
      <c r="G13" s="40" t="str">
        <f t="shared" ref="G13:G22" si="2">IF(C13=0,"Sin problemas",IF(D13=4,"1 - Inmediata",IF(D13=3,"2 - Alta",IF(D13=2,"3 - Media","4 - Baja"))))</f>
        <v>4 - Baja</v>
      </c>
    </row>
    <row r="14" ht="19.5" customHeight="1">
      <c r="B14" s="41" t="s">
        <v>41</v>
      </c>
      <c r="C14" s="42">
        <f>COUNTIF(Evaluacion!B4:B28,"*H2*")</f>
        <v>4</v>
      </c>
      <c r="D14" s="42">
        <f>IFERROR(_xludf.MAXIFS(Evaluacion!E4:E28,Evaluacion!B4:B28,"*H2*"),0)</f>
        <v>0</v>
      </c>
      <c r="E14" s="43">
        <f>IFERROR(AVERAGEIF(Evaluacion!B4:B28,"*H2*",Evaluacion!E4:E28),0)</f>
        <v>1.25</v>
      </c>
      <c r="F14" s="44" t="str">
        <f t="shared" si="1"/>
        <v>MENOR</v>
      </c>
      <c r="G14" s="44" t="str">
        <f t="shared" si="2"/>
        <v>4 - Baja</v>
      </c>
    </row>
    <row r="15" ht="19.5" customHeight="1">
      <c r="B15" s="37" t="s">
        <v>85</v>
      </c>
      <c r="C15" s="38">
        <f>COUNTIF(Evaluacion!B4:B28,"*H3*")</f>
        <v>2</v>
      </c>
      <c r="D15" s="38">
        <f>IFERROR(_xludf.MAXIFS(Evaluacion!E4:E28,Evaluacion!B4:B28,"*H3*"),0)</f>
        <v>0</v>
      </c>
      <c r="E15" s="39">
        <f>IFERROR(AVERAGEIF(Evaluacion!B4:B28,"*H3*",Evaluacion!E4:E28),0)</f>
        <v>2</v>
      </c>
      <c r="F15" s="40" t="str">
        <f t="shared" si="1"/>
        <v>MENOR</v>
      </c>
      <c r="G15" s="40" t="str">
        <f t="shared" si="2"/>
        <v>4 - Baja</v>
      </c>
    </row>
    <row r="16" ht="19.5" customHeight="1">
      <c r="B16" s="41" t="s">
        <v>59</v>
      </c>
      <c r="C16" s="42">
        <f>COUNTIF(Evaluacion!B4:B28,"*H4*")</f>
        <v>3</v>
      </c>
      <c r="D16" s="42">
        <f>IFERROR(_xludf.MAXIFS(Evaluacion!E4:E28,Evaluacion!B4:B28,"*H4*"),0)</f>
        <v>0</v>
      </c>
      <c r="E16" s="43">
        <f>IFERROR(AVERAGEIF(Evaluacion!B4:B28,"*H4*",Evaluacion!E4:E28),0)</f>
        <v>2</v>
      </c>
      <c r="F16" s="44" t="str">
        <f t="shared" si="1"/>
        <v>MENOR</v>
      </c>
      <c r="G16" s="44" t="str">
        <f t="shared" si="2"/>
        <v>4 - Baja</v>
      </c>
    </row>
    <row r="17" ht="19.5" customHeight="1">
      <c r="B17" s="37" t="s">
        <v>77</v>
      </c>
      <c r="C17" s="38">
        <f>COUNTIF(Evaluacion!B4:B28,"*H5*")</f>
        <v>1</v>
      </c>
      <c r="D17" s="38">
        <f>IFERROR(_xludf.MAXIFS(Evaluacion!E4:E28,Evaluacion!B4:B28,"*H5*"),0)</f>
        <v>0</v>
      </c>
      <c r="E17" s="39">
        <f>IFERROR(AVERAGEIF(Evaluacion!B4:B28,"*H5*",Evaluacion!E4:E28),0)</f>
        <v>3</v>
      </c>
      <c r="F17" s="40" t="str">
        <f t="shared" si="1"/>
        <v>MENOR</v>
      </c>
      <c r="G17" s="40" t="str">
        <f t="shared" si="2"/>
        <v>4 - Baja</v>
      </c>
    </row>
    <row r="18" ht="19.5" customHeight="1">
      <c r="B18" s="41" t="s">
        <v>101</v>
      </c>
      <c r="C18" s="42">
        <f>COUNTIF(Evaluacion!B4:B28,"*H6*")</f>
        <v>1</v>
      </c>
      <c r="D18" s="42">
        <f>IFERROR(_xludf.MAXIFS(Evaluacion!E4:E28,Evaluacion!B4:B28,"*H6*"),0)</f>
        <v>0</v>
      </c>
      <c r="E18" s="43">
        <f>IFERROR(AVERAGEIF(Evaluacion!B4:B28,"*H6*",Evaluacion!E4:E28),0)</f>
        <v>2</v>
      </c>
      <c r="F18" s="44" t="str">
        <f t="shared" si="1"/>
        <v>MENOR</v>
      </c>
      <c r="G18" s="44" t="str">
        <f t="shared" si="2"/>
        <v>4 - Baja</v>
      </c>
    </row>
    <row r="19" ht="19.5" customHeight="1">
      <c r="B19" s="37" t="s">
        <v>37</v>
      </c>
      <c r="C19" s="38">
        <f>COUNTIF(Evaluacion!B4:B28,"*H7*")</f>
        <v>6</v>
      </c>
      <c r="D19" s="38">
        <f>IFERROR(_xludf.MAXIFS(Evaluacion!E4:E28,Evaluacion!B4:B28,"*H7*"),0)</f>
        <v>0</v>
      </c>
      <c r="E19" s="39">
        <f>IFERROR(AVERAGEIF(Evaluacion!B4:B28,"*H7*",Evaluacion!E4:E28),0)</f>
        <v>2.5</v>
      </c>
      <c r="F19" s="40" t="str">
        <f t="shared" si="1"/>
        <v>MENOR</v>
      </c>
      <c r="G19" s="40" t="str">
        <f t="shared" si="2"/>
        <v>4 - Baja</v>
      </c>
    </row>
    <row r="20" ht="19.5" customHeight="1">
      <c r="B20" s="41" t="s">
        <v>130</v>
      </c>
      <c r="C20" s="42">
        <f>COUNTIF(Evaluacion!B4:B28,"*H8*")</f>
        <v>1</v>
      </c>
      <c r="D20" s="42">
        <f>IFERROR(_xludf.MAXIFS(Evaluacion!E4:E28,Evaluacion!B4:B28,"*H8*"),0)</f>
        <v>0</v>
      </c>
      <c r="E20" s="43">
        <f>IFERROR(AVERAGEIF(Evaluacion!B4:B28,"*H8*",Evaluacion!E4:E28),0)</f>
        <v>2</v>
      </c>
      <c r="F20" s="44" t="str">
        <f t="shared" si="1"/>
        <v>MENOR</v>
      </c>
      <c r="G20" s="44" t="str">
        <f t="shared" si="2"/>
        <v>4 - Baja</v>
      </c>
    </row>
    <row r="21" ht="19.5" customHeight="1">
      <c r="B21" s="37" t="s">
        <v>97</v>
      </c>
      <c r="C21" s="38">
        <f>COUNTIF(Evaluacion!B4:B28,"*H9*")</f>
        <v>1</v>
      </c>
      <c r="D21" s="38">
        <f>IFERROR(_xludf.MAXIFS(Evaluacion!E4:E28,Evaluacion!B4:B28,"*H9*"),0)</f>
        <v>0</v>
      </c>
      <c r="E21" s="39">
        <f>IFERROR(AVERAGEIF(Evaluacion!B4:B28,"*H9*",Evaluacion!E4:E28),0)</f>
        <v>3</v>
      </c>
      <c r="F21" s="40" t="str">
        <f t="shared" si="1"/>
        <v>MENOR</v>
      </c>
      <c r="G21" s="40" t="str">
        <f t="shared" si="2"/>
        <v>4 - Baja</v>
      </c>
    </row>
    <row r="22" ht="19.5" customHeight="1">
      <c r="B22" s="41" t="s">
        <v>31</v>
      </c>
      <c r="C22" s="42">
        <f>COUNTIF(Evaluacion!B4:B28,"*H10*")</f>
        <v>3</v>
      </c>
      <c r="D22" s="42">
        <f>IFERROR(_xludf.MAXIFS(Evaluacion!E4:E28,Evaluacion!B4:B28,"*H10*"),0)</f>
        <v>0</v>
      </c>
      <c r="E22" s="43">
        <f>IFERROR(AVERAGEIF(Evaluacion!B4:B28,"*H10*",Evaluacion!E4:E28),0)</f>
        <v>3</v>
      </c>
      <c r="F22" s="44" t="str">
        <f t="shared" si="1"/>
        <v>MENOR</v>
      </c>
      <c r="G22" s="44" t="str">
        <f t="shared" si="2"/>
        <v>4 - Baja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C9:D9"/>
    <mergeCell ref="B11:G11"/>
    <mergeCell ref="B1:G1"/>
    <mergeCell ref="B2:G2"/>
    <mergeCell ref="B4:G4"/>
    <mergeCell ref="C5:D5"/>
    <mergeCell ref="C6:D6"/>
    <mergeCell ref="C7:D7"/>
    <mergeCell ref="C8:D8"/>
  </mergeCells>
  <conditionalFormatting sqref="F13:F22">
    <cfRule type="cellIs" dxfId="5" priority="1" operator="equal">
      <formula>"CRITICO"</formula>
    </cfRule>
  </conditionalFormatting>
  <conditionalFormatting sqref="F13:F22">
    <cfRule type="cellIs" dxfId="6" priority="2" operator="equal">
      <formula>"MAYOR"</formula>
    </cfRule>
  </conditionalFormatting>
  <conditionalFormatting sqref="F13:F22">
    <cfRule type="cellIs" dxfId="7" priority="3" operator="equal">
      <formula>"Sin problemas"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26.0"/>
    <col customWidth="1" min="4" max="4" width="38.0"/>
    <col customWidth="1" min="5" max="5" width="32.0"/>
    <col customWidth="1" min="6" max="6" width="28.0"/>
    <col customWidth="1" min="7" max="26" width="8.71"/>
  </cols>
  <sheetData>
    <row r="1" ht="31.5" customHeight="1">
      <c r="B1" s="11" t="s">
        <v>131</v>
      </c>
      <c r="C1" s="2"/>
      <c r="D1" s="2"/>
      <c r="E1" s="2"/>
      <c r="F1" s="3"/>
    </row>
    <row r="2" ht="15.75" customHeight="1">
      <c r="B2" s="12" t="s">
        <v>132</v>
      </c>
      <c r="C2" s="2"/>
      <c r="D2" s="2"/>
      <c r="E2" s="2"/>
      <c r="F2" s="3"/>
    </row>
    <row r="3" ht="21.75" customHeight="1">
      <c r="B3" s="13" t="s">
        <v>23</v>
      </c>
      <c r="C3" s="13" t="s">
        <v>24</v>
      </c>
      <c r="D3" s="13" t="s">
        <v>133</v>
      </c>
      <c r="E3" s="13" t="s">
        <v>134</v>
      </c>
      <c r="F3" s="13" t="s">
        <v>135</v>
      </c>
    </row>
    <row r="4" ht="57.75" customHeight="1">
      <c r="B4" s="45" t="s">
        <v>136</v>
      </c>
      <c r="C4" s="46" t="s">
        <v>137</v>
      </c>
      <c r="D4" s="47" t="s">
        <v>138</v>
      </c>
      <c r="E4" s="47" t="s">
        <v>139</v>
      </c>
      <c r="F4" s="47" t="s">
        <v>140</v>
      </c>
    </row>
    <row r="5" ht="57.75" customHeight="1">
      <c r="B5" s="45" t="s">
        <v>141</v>
      </c>
      <c r="C5" s="46" t="s">
        <v>142</v>
      </c>
      <c r="D5" s="47" t="s">
        <v>143</v>
      </c>
      <c r="E5" s="47" t="s">
        <v>144</v>
      </c>
      <c r="F5" s="47" t="s">
        <v>145</v>
      </c>
    </row>
    <row r="6" ht="57.75" customHeight="1">
      <c r="B6" s="45" t="s">
        <v>146</v>
      </c>
      <c r="C6" s="46" t="s">
        <v>147</v>
      </c>
      <c r="D6" s="47" t="s">
        <v>148</v>
      </c>
      <c r="E6" s="47" t="s">
        <v>149</v>
      </c>
      <c r="F6" s="47" t="s">
        <v>150</v>
      </c>
    </row>
    <row r="7" ht="57.75" customHeight="1">
      <c r="B7" s="45" t="s">
        <v>151</v>
      </c>
      <c r="C7" s="46" t="s">
        <v>152</v>
      </c>
      <c r="D7" s="47" t="s">
        <v>153</v>
      </c>
      <c r="E7" s="47" t="s">
        <v>154</v>
      </c>
      <c r="F7" s="47" t="s">
        <v>155</v>
      </c>
    </row>
    <row r="8" ht="57.75" customHeight="1">
      <c r="B8" s="45" t="s">
        <v>156</v>
      </c>
      <c r="C8" s="46" t="s">
        <v>157</v>
      </c>
      <c r="D8" s="47" t="s">
        <v>158</v>
      </c>
      <c r="E8" s="47" t="s">
        <v>159</v>
      </c>
      <c r="F8" s="47" t="s">
        <v>160</v>
      </c>
    </row>
    <row r="9" ht="57.75" customHeight="1">
      <c r="B9" s="45" t="s">
        <v>161</v>
      </c>
      <c r="C9" s="46" t="s">
        <v>162</v>
      </c>
      <c r="D9" s="47" t="s">
        <v>163</v>
      </c>
      <c r="E9" s="47" t="s">
        <v>164</v>
      </c>
      <c r="F9" s="47" t="s">
        <v>165</v>
      </c>
    </row>
    <row r="10" ht="57.75" customHeight="1">
      <c r="B10" s="45" t="s">
        <v>166</v>
      </c>
      <c r="C10" s="46" t="s">
        <v>167</v>
      </c>
      <c r="D10" s="47" t="s">
        <v>168</v>
      </c>
      <c r="E10" s="47" t="s">
        <v>169</v>
      </c>
      <c r="F10" s="47" t="s">
        <v>170</v>
      </c>
    </row>
    <row r="11" ht="57.75" customHeight="1">
      <c r="B11" s="45" t="s">
        <v>171</v>
      </c>
      <c r="C11" s="46" t="s">
        <v>172</v>
      </c>
      <c r="D11" s="47" t="s">
        <v>173</v>
      </c>
      <c r="E11" s="47" t="s">
        <v>174</v>
      </c>
      <c r="F11" s="47" t="s">
        <v>175</v>
      </c>
    </row>
    <row r="12" ht="57.75" customHeight="1">
      <c r="B12" s="45" t="s">
        <v>176</v>
      </c>
      <c r="C12" s="46" t="s">
        <v>177</v>
      </c>
      <c r="D12" s="47" t="s">
        <v>178</v>
      </c>
      <c r="E12" s="47" t="s">
        <v>179</v>
      </c>
      <c r="F12" s="47" t="s">
        <v>180</v>
      </c>
    </row>
    <row r="13" ht="57.75" customHeight="1">
      <c r="B13" s="45" t="s">
        <v>181</v>
      </c>
      <c r="C13" s="46" t="s">
        <v>182</v>
      </c>
      <c r="D13" s="47" t="s">
        <v>183</v>
      </c>
      <c r="E13" s="47" t="s">
        <v>184</v>
      </c>
      <c r="F13" s="47" t="s">
        <v>185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F1"/>
    <mergeCell ref="B2:F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6" width="10.71"/>
  </cols>
  <sheetData>
    <row r="1" ht="14.25" customHeight="1">
      <c r="A1" s="48" t="s">
        <v>54</v>
      </c>
    </row>
    <row r="2" ht="14.25" customHeight="1">
      <c r="A2" s="49" t="s">
        <v>41</v>
      </c>
    </row>
    <row r="3" ht="14.25" customHeight="1">
      <c r="A3" s="49" t="s">
        <v>85</v>
      </c>
    </row>
    <row r="4" ht="14.25" customHeight="1">
      <c r="A4" s="49" t="s">
        <v>59</v>
      </c>
    </row>
    <row r="5" ht="14.25" customHeight="1">
      <c r="A5" s="49" t="s">
        <v>77</v>
      </c>
    </row>
    <row r="6" ht="14.25" customHeight="1">
      <c r="A6" s="49" t="s">
        <v>101</v>
      </c>
    </row>
    <row r="7" ht="14.25" customHeight="1">
      <c r="A7" s="49" t="s">
        <v>37</v>
      </c>
    </row>
    <row r="8" ht="14.25" customHeight="1">
      <c r="A8" s="49" t="s">
        <v>81</v>
      </c>
    </row>
    <row r="9" ht="14.25" customHeight="1">
      <c r="A9" s="49" t="s">
        <v>97</v>
      </c>
    </row>
    <row r="10" ht="14.25" customHeight="1">
      <c r="A10" s="49" t="s">
        <v>31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